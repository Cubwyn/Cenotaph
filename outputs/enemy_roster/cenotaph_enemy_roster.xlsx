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e41508ee9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9702c8095e46b9"/>
    <x:sheet xmlns:r="http://schemas.openxmlformats.org/officeDocument/2006/relationships" name="Current Definitions" sheetId="2" r:id="Rd74e02869c2d47d9"/>
    <x:sheet xmlns:r="http://schemas.openxmlformats.org/officeDocument/2006/relationships" name="Design Roster" sheetId="3" r:id="R8ea436d3fb1243de"/>
    <x:sheet xmlns:r="http://schemas.openxmlformats.org/officeDocument/2006/relationships" name="Sources" sheetId="4" r:id="Ra8ea5bca7961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#,##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1"/>
      <x:color rgb="FF2B6CB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536878"/>
      </x:patternFill>
    </x:fill>
    <x:fill>
      <x:patternFill patternType="solid">
        <x:fgColor rgb="FFE8ECEF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9AA6B2"/>
      </x:left>
      <x:top style="thin">
        <x:color rgb="FF9AA6B2"/>
      </x:top>
      <x:bottom style="thin">
        <x:color rgb="FF9AA6B2"/>
      </x:bottom>
    </x:border>
    <x:border>
      <x:top style="thin">
        <x:color rgb="FF9AA6B2"/>
      </x:top>
      <x:bottom style="thin">
        <x:color rgb="FF9AA6B2"/>
      </x:bottom>
    </x:border>
    <x:border>
      <x:right style="thin">
        <x:color rgb="FF9AA6B2"/>
      </x:right>
      <x:top style="thin">
        <x:color rgb="FF9AA6B2"/>
      </x:top>
      <x:bottom style="thin">
        <x:color rgb="FF9AA6B2"/>
      </x:bottom>
    </x:border>
    <x:border>
      <x:top style="thin">
        <x:color rgb="FFC5CED8"/>
      </x:top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top style="thin">
        <x:color rgb="FFD8DEE6"/>
      </x:top>
      <x:bottom style="thin">
        <x:color rgb="FFC5CED8"/>
      </x:bottom>
    </x:border>
    <x:border>
      <x:left style="medium">
        <x:color rgb="FF1F2933"/>
      </x:left>
      <x:top style="medium">
        <x:color rgb="FF1F2933"/>
      </x:top>
      <x:bottom style="medium">
        <x:color rgb="FF1F2933"/>
      </x:bottom>
    </x:border>
    <x:border>
      <x:top style="medium">
        <x:color rgb="FF1F2933"/>
      </x:top>
      <x:bottom style="medium">
        <x:color rgb="FF1F2933"/>
      </x:bottom>
    </x:border>
    <x:border>
      <x:right style="medium">
        <x:color rgb="FF1F2933"/>
      </x:right>
      <x:top style="medium">
        <x:color rgb="FF1F2933"/>
      </x:top>
      <x:bottom style="medium">
        <x:color rgb="FF1F2933"/>
      </x:bottom>
    </x:border>
    <x:border>
      <x:left style="thin">
        <x:color rgb="FFC5CED8"/>
      </x:left>
      <x:right style="thin">
        <x:color rgb="FFC5CED8"/>
      </x:right>
      <x:top style="thin">
        <x:color rgb="FFC5CED8"/>
      </x:top>
    </x:border>
    <x:border>
      <x:left style="thin">
        <x:color rgb="FFC5CED8"/>
      </x:left>
      <x:right style="thin">
        <x:color rgb="FFC5CED8"/>
      </x:right>
    </x:border>
    <x:border>
      <x:left style="thin">
        <x:color rgb="FFC5CED8"/>
      </x:left>
      <x:right style="thin">
        <x:color rgb="FFC5CED8"/>
      </x:right>
      <x:bottom style="thin">
        <x:color rgb="FFC5CED8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horizontal="left" vertical="center"/>
    </x:xf>
    <x:xf numFmtId="0" fontId="1" fillId="2" borderId="8" xfId="0" applyNumberFormat="1" applyFont="1" applyFill="1" applyBorder="1" applyAlignment="1">
      <x:alignment horizontal="left" vertical="center"/>
    </x:xf>
    <x:xf numFmtId="0" fontId="1" fillId="2" borderId="9" xfId="0" applyNumberFormat="1" applyFont="1" applyFill="1" applyBorder="1" applyAlignment="1">
      <x:alignment horizontal="left" vertical="center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202" fontId="5" fillId="5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05c030fa34379" /><Relationship Type="http://schemas.openxmlformats.org/officeDocument/2006/relationships/theme" Target="/xl/theme/theme1.xml" Id="R6797aec808e04ba9" /><Relationship Type="http://schemas.openxmlformats.org/officeDocument/2006/relationships/sharedStrings" Target="/xl/sharedStrings.xml" Id="R108bc8abcb8444e1" /><Relationship Type="http://schemas.openxmlformats.org/officeDocument/2006/relationships/worksheet" Target="/xl/worksheets/sheet1.xml" Id="R969702c8095e46b9" /><Relationship Type="http://schemas.openxmlformats.org/officeDocument/2006/relationships/worksheet" Target="/xl/worksheets/sheet2.xml" Id="Rd74e02869c2d47d9" /><Relationship Type="http://schemas.openxmlformats.org/officeDocument/2006/relationships/worksheet" Target="/xl/worksheets/sheet3.xml" Id="R8ea436d3fb1243de" /><Relationship Type="http://schemas.openxmlformats.org/officeDocument/2006/relationships/worksheet" Target="/xl/worksheets/sheet4.xml" Id="Ra8ea5bca7961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38" hidden="0" customWidth="1"/>
    <x:col min="7" max="7" width="26" hidden="0" customWidth="1"/>
    <x:col min="8" max="8" width="36" hidden="0" customWidth="1"/>
  </x:cols>
  <x:sheetData>
    <x:row r="1" ht="30" customHeight="1">
      <x:c r="A1" s="4" t="str">
        <x:v>Enemy Roster Summary</x:v>
      </x:c>
      <x:c r="B1" s="4" t="str">
        <x:v>Enemy Roster Summary</x:v>
      </x:c>
      <x:c r="C1" s="4" t="str">
        <x:v>Enemy Roster Summary</x:v>
      </x:c>
      <x:c r="D1" s="4" t="str">
        <x:v>Enemy Roster Summary</x:v>
      </x:c>
      <x:c r="E1" s="4" t="str">
        <x:v>Enemy Roster Summary</x:v>
      </x:c>
      <x:c r="F1" s="4" t="str">
        <x:v>Enemy Roster Summary</x:v>
      </x:c>
      <x:c r="G1" s="4" t="str">
        <x:v>Enemy Roster Summary</x:v>
      </x:c>
      <x:c r="H1" s="4" t="str">
        <x:v>Enemy Roster Summary</x:v>
      </x:c>
    </x:row>
    <x:row r="3">
      <x:c r="A3" s="40" t="str">
        <x:v>Current data definitions</x:v>
      </x:c>
      <x:c r="B3" s="45" t="n">
        <x:f>COUNTA('Current Definitions'!A4:A8)</x:f>
        <x:v>5</x:v>
      </x:c>
    </x:row>
    <x:row r="4">
      <x:c r="A4" s="41" t="str">
        <x:v>Planned roster entries</x:v>
      </x:c>
      <x:c r="B4" s="46" t="n">
        <x:f>COUNTA('Design Roster'!A4:A15)</x:f>
        <x:v>12</x:v>
      </x:c>
    </x:row>
    <x:row r="5">
      <x:c r="A5" s="41" t="str">
        <x:v>Average health</x:v>
      </x:c>
      <x:c r="B5" s="48" t="n">
        <x:f>AVERAGE('Current Definitions'!H4:H8)</x:f>
        <x:v>56.6</x:v>
      </x:c>
    </x:row>
    <x:row r="6">
      <x:c r="A6" s="41" t="str">
        <x:v>Average damage</x:v>
      </x:c>
      <x:c r="B6" s="48" t="n">
        <x:f>AVERAGE('Current Definitions'!I4:I8)</x:f>
        <x:v>16</x:v>
      </x:c>
    </x:row>
    <x:row r="7">
      <x:c r="A7" s="41" t="str">
        <x:v>Average move speed</x:v>
      </x:c>
      <x:c r="B7" s="48" t="n">
        <x:f>AVERAGE('Current Definitions'!J4:J8)</x:f>
        <x:v>3.2</x:v>
      </x:c>
    </x:row>
    <x:row r="8">
      <x:c r="A8" s="41" t="str">
        <x:v>Highest damage enemy</x:v>
      </x:c>
      <x:c r="B8" s="46" t="str">
        <x:f>INDEX('Current Definitions'!B4:B8,MATCH(MAX('Current Definitions'!I4:I8),'Current Definitions'!I4:I8,0))</x:f>
        <x:v>Censer</x:v>
      </x:c>
    </x:row>
    <x:row r="9">
      <x:c r="A9" s="42" t="str">
        <x:v>Fastest enemy</x:v>
      </x:c>
      <x:c r="B9" s="47" t="str">
        <x:f>INDEX('Current Definitions'!B4:B8,MATCH(MAX('Current Definitions'!J4:J8),'Current Definitions'!J4:J8,0))</x:f>
        <x:v>Chainrunner</x:v>
      </x:c>
    </x:row>
    <x:row r="11" ht="36" customHeight="1">
      <x:c r="A11" s="16" t="str">
        <x:v>Implementation View</x:v>
      </x:c>
      <x:c r="B11" s="17" t="str">
        <x:v>Implemented / Data</x:v>
      </x:c>
      <x:c r="C11" s="17" t="str">
        <x:v>Planned</x:v>
      </x:c>
      <x:c r="D11" s="17" t="str">
        <x:v>Primary Ash-Walk</x:v>
      </x:c>
      <x:c r="E11" s="17" t="str">
        <x:v>Model Reset Priority</x:v>
      </x:c>
      <x:c r="F11" s="17" t="str">
        <x:v>Next Design Question</x:v>
      </x:c>
      <x:c r="G11" s="17" t="str">
        <x:v>Source</x:v>
      </x:c>
      <x:c r="H11" s="18" t="str">
        <x:v>Notes</x:v>
      </x:c>
    </x:row>
    <x:row r="12">
      <x:c r="A12" s="26" t="str">
        <x:v>Stage 0 Foundation</x:v>
      </x:c>
      <x:c r="B12" s="26" t="str">
        <x:v>Ashbound, Burdened, Censer, Chainrunner, Harpy</x:v>
      </x:c>
      <x:c r="C12" s="26" t="str">
        <x:v>Bellworn, Silencer, Paranoiac, Anchor Parasite, Root-Machine Hybrid, Mirror, Bell-Headed</x:v>
      </x:c>
      <x:c r="D12" s="26" t="str">
        <x:v>Ashbound, Burdened, Censer, Harpy</x:v>
      </x:c>
      <x:c r="E12" s="26" t="str">
        <x:v>Burdened then Ashbound</x:v>
      </x:c>
      <x:c r="F12" s="26" t="str">
        <x:v>Does movement, shooting, taking damage, and defeating an enemy feel good?</x:v>
      </x:c>
      <x:c r="G12" s="26" t="str">
        <x:v>ROADMAP.md</x:v>
      </x:c>
      <x:c r="H12" s="26" t="str">
        <x:v>Use foundation_test for smoke checks.</x:v>
      </x:c>
    </x:row>
    <x:row r="13">
      <x:c r="A13" s="27" t="str">
        <x:v>First Ascent</x:v>
      </x:c>
      <x:c r="B13" s="27" t="str">
        <x:v>Burdened prop, Anchor/resource stub</x:v>
      </x:c>
      <x:c r="C13" s="27" t="str">
        <x:v>Route choice, hazard, loot/relic stub</x:v>
      </x:c>
      <x:c r="D13" s="27" t="str">
        <x:v>Ashbound or Burdened baseline</x:v>
      </x:c>
      <x:c r="E13" s="27" t="str">
        <x:v>Anchor/resource/hazard props before enemy production art</x:v>
      </x:c>
      <x:c r="F13" s="27" t="str">
        <x:v>Is it fun to climb, survive, bank progress, and try again?</x:v>
      </x:c>
      <x:c r="G13" s="27" t="str">
        <x:v>MODEL_RESET_PLAN.md</x:v>
      </x:c>
      <x:c r="H13" s="27" t="str">
        <x:v>Keep models readable in gray first.</x:v>
      </x:c>
    </x:row>
    <x:row r="14">
      <x:c r="A14" s="27" t="str">
        <x:v>Threat Depth</x:v>
      </x:c>
      <x:c r="B14" s="27" t="str">
        <x:v>Baseline chase/attack only</x:v>
      </x:c>
      <x:c r="C14" s="27" t="str">
        <x:v>Role-specific AI, elite modifiers, suppression, aerial control</x:v>
      </x:c>
      <x:c r="D14" s="27" t="str">
        <x:v>Ashbound, Burdened, Censer, Harpy</x:v>
      </x:c>
      <x:c r="E14" s="27" t="str">
        <x:v>Enemy animation/audio tells</x:v>
      </x:c>
      <x:c r="F14" s="27" t="str">
        <x:v>Do enemies attack options, not only health?</x:v>
      </x:c>
      <x:c r="G14" s="27" t="str">
        <x:v>ENEMY_GAMEPLAY_ROSTER.txt</x:v>
      </x:c>
      <x:c r="H14" s="27" t="str">
        <x:v>Do not add suppression too early.</x:v>
      </x:c>
    </x:row>
    <x:row r="15">
      <x:c r="A15" s="27" t="str">
        <x:v>Model Reset</x:v>
      </x:c>
      <x:c r="B15" s="27" t="str">
        <x:v>Low-poly silhouettes</x:v>
      </x:c>
      <x:c r="C15" s="27" t="str">
        <x:v>Production models</x:v>
      </x:c>
      <x:c r="D15" s="27" t="str">
        <x:v>Burdened, Ashbound, Censer, Harpy</x:v>
      </x:c>
      <x:c r="E15" s="27" t="str">
        <x:v>Blockout kit first</x:v>
      </x:c>
      <x:c r="F15" s="27" t="str">
        <x:v>Can new assets replace cubes without breaking validation?</x:v>
      </x:c>
      <x:c r="G15" s="27" t="str">
        <x:v>ASSET_GUIDE.md</x:v>
      </x:c>
      <x:c r="H15" s="27" t="str">
        <x:v>Future-stable asset IDs matter.</x:v>
      </x:c>
    </x:row>
    <x:row r="16">
      <x:c r="A16" s="28" t="str">
        <x:v>Content Validation</x:v>
      </x:c>
      <x:c r="B16" s="28" t="str">
        <x:v>Enemy/model/config/level validation</x:v>
      </x:c>
      <x:c r="C16" s="28" t="str">
        <x:v>Relic/hazard registries</x:v>
      </x:c>
      <x:c r="D16" s="28" t="str">
        <x:v>N/A</x:v>
      </x:c>
      <x:c r="E16" s="28" t="str">
        <x:v>All referenced assets</x:v>
      </x:c>
      <x:c r="F16" s="28" t="str">
        <x:v>Can content expand without destabilizing core?</x:v>
      </x:c>
      <x:c r="G16" s="28" t="str">
        <x:v>FOUNDATION.md</x:v>
      </x:c>
      <x:c r="H16" s="28" t="str">
        <x:v>Run foundation_check before treating changes as stable.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2" hidden="0" customWidth="1"/>
    <x:col min="7" max="7" width="4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  <x:col min="16" max="16" width="24" hidden="0" customWidth="1"/>
  </x:cols>
  <x:sheetData>
    <x:row r="1" ht="30" customHeight="1">
      <x:c r="A1" s="32" t="str">
        <x:v>Current Enemy Definitions</x:v>
      </x:c>
      <x:c r="B1" s="33" t="str">
        <x:v>Current Enemy Definitions</x:v>
      </x:c>
      <x:c r="C1" s="33" t="str">
        <x:v>Current Enemy Definitions</x:v>
      </x:c>
      <x:c r="D1" s="33" t="str">
        <x:v>Current Enemy Definitions</x:v>
      </x:c>
      <x:c r="E1" s="33" t="str">
        <x:v>Current Enemy Definitions</x:v>
      </x:c>
      <x:c r="F1" s="33" t="str">
        <x:v>Current Enemy Definitions</x:v>
      </x:c>
      <x:c r="G1" s="33" t="str">
        <x:v>Current Enemy Definitions</x:v>
      </x:c>
      <x:c r="H1" s="33" t="str">
        <x:v>Current Enemy Definitions</x:v>
      </x:c>
      <x:c r="I1" s="33" t="str">
        <x:v>Current Enemy Definitions</x:v>
      </x:c>
      <x:c r="J1" s="33" t="str">
        <x:v>Current Enemy Definitions</x:v>
      </x:c>
      <x:c r="K1" s="33" t="str">
        <x:v>Current Enemy Definitions</x:v>
      </x:c>
      <x:c r="L1" s="33" t="str">
        <x:v>Current Enemy Definitions</x:v>
      </x:c>
      <x:c r="M1" s="33" t="str">
        <x:v>Current Enemy Definitions</x:v>
      </x:c>
      <x:c r="N1" s="33" t="str">
        <x:v>Current Enemy Definitions</x:v>
      </x:c>
      <x:c r="O1" s="33" t="str">
        <x:v>Current Enemy Definitions</x:v>
      </x:c>
      <x:c r="P1" s="34" t="str">
        <x:v>Current Enemy Definitions</x:v>
      </x:c>
    </x:row>
    <x:row r="3" ht="36" customHeight="1">
      <x:c r="A3" s="16" t="str">
        <x:v>Enemy ID</x:v>
      </x:c>
      <x:c r="B3" s="17" t="str">
        <x:v>Display Name</x:v>
      </x:c>
      <x:c r="C3" s="17" t="str">
        <x:v>Role</x:v>
      </x:c>
      <x:c r="D3" s="17" t="str">
        <x:v>Behavior Tag</x:v>
      </x:c>
      <x:c r="E3" s="17" t="str">
        <x:v>Model Asset</x:v>
      </x:c>
      <x:c r="F3" s="17" t="str">
        <x:v>Collider</x:v>
      </x:c>
      <x:c r="G3" s="17" t="str">
        <x:v>Visual Tell</x:v>
      </x:c>
      <x:c r="H3" s="17" t="str">
        <x:v>Health</x:v>
      </x:c>
      <x:c r="I3" s="17" t="str">
        <x:v>Damage</x:v>
      </x:c>
      <x:c r="J3" s="17" t="str">
        <x:v>Move Speed</x:v>
      </x:c>
      <x:c r="K3" s="17" t="str">
        <x:v>Activation Range</x:v>
      </x:c>
      <x:c r="L3" s="17" t="str">
        <x:v>Attack Range</x:v>
      </x:c>
      <x:c r="M3" s="17" t="str">
        <x:v>Attack Windup</x:v>
      </x:c>
      <x:c r="N3" s="17" t="str">
        <x:v>Attack Cooldown</x:v>
      </x:c>
      <x:c r="O3" s="17" t="str">
        <x:v>Implementation Status</x:v>
      </x:c>
      <x:c r="P3" s="18" t="str">
        <x:v>Source File</x:v>
      </x:c>
    </x:row>
    <x:row r="4">
      <x:c r="A4" s="26" t="str">
        <x:v>ashbound</x:v>
      </x:c>
      <x:c r="B4" s="26" t="str">
        <x:v>Ashbound</x:v>
      </x:c>
      <x:c r="C4" s="26" t="str">
        <x:v>grunt</x:v>
      </x:c>
      <x:c r="D4" s="26" t="str">
        <x:v>chase_melee</x:v>
      </x:c>
      <x:c r="E4" s="26" t="str">
        <x:v>enemies/ashbound.obj</x:v>
      </x:c>
      <x:c r="F4" s="26" t="str">
        <x:v>Sphere</x:v>
      </x:c>
      <x:c r="G4" s="26" t="str">
        <x:v>lean forward shard-body silhouette for fast direct melee pressure</x:v>
      </x:c>
      <x:c r="H4" s="29" t="n">
        <x:v>35</x:v>
      </x:c>
      <x:c r="I4" s="29" t="n">
        <x:v>8</x:v>
      </x:c>
      <x:c r="J4" s="29" t="n">
        <x:v>3.2</x:v>
      </x:c>
      <x:c r="K4" s="29" t="n">
        <x:v>16</x:v>
      </x:c>
      <x:c r="L4" s="29" t="n">
        <x:v>1.4</x:v>
      </x:c>
      <x:c r="M4" s="29" t="n">
        <x:v>0.35</x:v>
      </x:c>
      <x:c r="N4" s="29" t="n">
        <x:v>1</x:v>
      </x:c>
      <x:c r="O4" s="26" t="str">
        <x:v>Data + placeholder model</x:v>
      </x:c>
      <x:c r="P4" s="26" t="str">
        <x:v>data/enemies/ashbound.toml</x:v>
      </x:c>
    </x:row>
    <x:row r="5">
      <x:c r="A5" s="27" t="str">
        <x:v>burdened</x:v>
      </x:c>
      <x:c r="B5" s="27" t="str">
        <x:v>Burdened</x:v>
      </x:c>
      <x:c r="C5" s="27" t="str">
        <x:v>tank</x:v>
      </x:c>
      <x:c r="D5" s="27" t="str">
        <x:v>slow_chase_melee</x:v>
      </x:c>
      <x:c r="E5" s="27" t="str">
        <x:v>enemies/burdened.obj</x:v>
      </x:c>
      <x:c r="F5" s="27" t="str">
        <x:v>Sphere</x:v>
      </x:c>
      <x:c r="G5" s="27" t="str">
        <x:v>wide hunched body with an oversized rear load for slow tank pressure</x:v>
      </x:c>
      <x:c r="H5" s="30" t="n">
        <x:v>120</x:v>
      </x:c>
      <x:c r="I5" s="30" t="n">
        <x:v>18</x:v>
      </x:c>
      <x:c r="J5" s="30" t="n">
        <x:v>1.4</x:v>
      </x:c>
      <x:c r="K5" s="30" t="n">
        <x:v>14</x:v>
      </x:c>
      <x:c r="L5" s="30" t="n">
        <x:v>1.8</x:v>
      </x:c>
      <x:c r="M5" s="30" t="n">
        <x:v>0.75</x:v>
      </x:c>
      <x:c r="N5" s="30" t="n">
        <x:v>1.8</x:v>
      </x:c>
      <x:c r="O5" s="27" t="str">
        <x:v>Data + placeholder model</x:v>
      </x:c>
      <x:c r="P5" s="27" t="str">
        <x:v>data/enemies/burdened.toml</x:v>
      </x:c>
    </x:row>
    <x:row r="6">
      <x:c r="A6" s="27" t="str">
        <x:v>censer</x:v>
      </x:c>
      <x:c r="B6" s="27" t="str">
        <x:v>Censer</x:v>
      </x:c>
      <x:c r="C6" s="27" t="str">
        <x:v>glass_cannon</x:v>
      </x:c>
      <x:c r="D6" s="27" t="str">
        <x:v>ranged_windup</x:v>
      </x:c>
      <x:c r="E6" s="27" t="str">
        <x:v>enemies/censer.obj</x:v>
      </x:c>
      <x:c r="F6" s="27" t="str">
        <x:v>Sphere</x:v>
      </x:c>
      <x:c r="G6" s="27" t="str">
        <x:v>thin caster frame with a hanging censer core for ranged wind-up threat</x:v>
      </x:c>
      <x:c r="H6" s="30" t="n">
        <x:v>28</x:v>
      </x:c>
      <x:c r="I6" s="30" t="n">
        <x:v>28</x:v>
      </x:c>
      <x:c r="J6" s="30" t="n">
        <x:v>1.8</x:v>
      </x:c>
      <x:c r="K6" s="30" t="n">
        <x:v>18</x:v>
      </x:c>
      <x:c r="L6" s="30" t="n">
        <x:v>14</x:v>
      </x:c>
      <x:c r="M6" s="30" t="n">
        <x:v>1</x:v>
      </x:c>
      <x:c r="N6" s="30" t="n">
        <x:v>2.2</x:v>
      </x:c>
      <x:c r="O6" s="27" t="str">
        <x:v>Data + placeholder model</x:v>
      </x:c>
      <x:c r="P6" s="27" t="str">
        <x:v>data/enemies/censer.toml</x:v>
      </x:c>
    </x:row>
    <x:row r="7">
      <x:c r="A7" s="27" t="str">
        <x:v>chainrunner</x:v>
      </x:c>
      <x:c r="B7" s="27" t="str">
        <x:v>Chainrunner</x:v>
      </x:c>
      <x:c r="C7" s="27" t="str">
        <x:v>high_speed</x:v>
      </x:c>
      <x:c r="D7" s="27" t="str">
        <x:v>flanker_lunge</x:v>
      </x:c>
      <x:c r="E7" s="27" t="str">
        <x:v>enemies/chainrunner.obj</x:v>
      </x:c>
      <x:c r="F7" s="27" t="str">
        <x:v>Sphere</x:v>
      </x:c>
      <x:c r="G7" s="27" t="str">
        <x:v>low elongated runner with forward point and splayed limbs for flanker lunges</x:v>
      </x:c>
      <x:c r="H7" s="30" t="n">
        <x:v>45</x:v>
      </x:c>
      <x:c r="I7" s="30" t="n">
        <x:v>12</x:v>
      </x:c>
      <x:c r="J7" s="30" t="n">
        <x:v>5.2</x:v>
      </x:c>
      <x:c r="K7" s="30" t="n">
        <x:v>18</x:v>
      </x:c>
      <x:c r="L7" s="30" t="n">
        <x:v>1.5</x:v>
      </x:c>
      <x:c r="M7" s="30" t="n">
        <x:v>0.25</x:v>
      </x:c>
      <x:c r="N7" s="30" t="n">
        <x:v>1.1</x:v>
      </x:c>
      <x:c r="O7" s="27" t="str">
        <x:v>Data + placeholder model</x:v>
      </x:c>
      <x:c r="P7" s="27" t="str">
        <x:v>data/enemies/chainrunner.toml</x:v>
      </x:c>
    </x:row>
    <x:row r="8">
      <x:c r="A8" s="28" t="str">
        <x:v>harpy</x:v>
      </x:c>
      <x:c r="B8" s="28" t="str">
        <x:v>Harpy</x:v>
      </x:c>
      <x:c r="C8" s="28" t="str">
        <x:v>aerial</x:v>
      </x:c>
      <x:c r="D8" s="28" t="str">
        <x:v>aerial_dive</x:v>
      </x:c>
      <x:c r="E8" s="28" t="str">
        <x:v>enemies/harpy.obj</x:v>
      </x:c>
      <x:c r="F8" s="28" t="str">
        <x:v>Sphere</x:v>
      </x:c>
      <x:c r="G8" s="28" t="str">
        <x:v>wide wing span over a small body for aerial dive pressure</x:v>
      </x:c>
      <x:c r="H8" s="31" t="n">
        <x:v>55</x:v>
      </x:c>
      <x:c r="I8" s="31" t="n">
        <x:v>14</x:v>
      </x:c>
      <x:c r="J8" s="31" t="n">
        <x:v>4.4</x:v>
      </x:c>
      <x:c r="K8" s="31" t="n">
        <x:v>22</x:v>
      </x:c>
      <x:c r="L8" s="31" t="n">
        <x:v>2</x:v>
      </x:c>
      <x:c r="M8" s="31" t="n">
        <x:v>0.45</x:v>
      </x:c>
      <x:c r="N8" s="31" t="n">
        <x:v>1.5</x:v>
      </x:c>
      <x:c r="O8" s="28" t="str">
        <x:v>Data + placeholder model</x:v>
      </x:c>
      <x:c r="P8" s="28" t="str">
        <x:v>data/enemies/harpy.toml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2" hidden="0" customWidth="1"/>
    <x:col min="10" max="10" width="52" hidden="0" customWidth="1"/>
  </x:cols>
  <x:sheetData>
    <x:row r="1" ht="30" customHeight="1">
      <x:c r="A1" s="4" t="str">
        <x:v>Full Gameplay Enemy Roster</x:v>
      </x:c>
      <x:c r="B1" s="4" t="str">
        <x:v>Full Gameplay Enemy Roster</x:v>
      </x:c>
      <x:c r="C1" s="4" t="str">
        <x:v>Full Gameplay Enemy Roster</x:v>
      </x:c>
      <x:c r="D1" s="4" t="str">
        <x:v>Full Gameplay Enemy Roster</x:v>
      </x:c>
      <x:c r="E1" s="4" t="str">
        <x:v>Full Gameplay Enemy Roster</x:v>
      </x:c>
      <x:c r="F1" s="4" t="str">
        <x:v>Full Gameplay Enemy Roster</x:v>
      </x:c>
      <x:c r="G1" s="4" t="str">
        <x:v>Full Gameplay Enemy Roster</x:v>
      </x:c>
      <x:c r="H1" s="4" t="str">
        <x:v>Full Gameplay Enemy Roster</x:v>
      </x:c>
      <x:c r="I1" s="4" t="str">
        <x:v>Full Gameplay Enemy Roster</x:v>
      </x:c>
      <x:c r="J1" s="4" t="str">
        <x:v>Full Gameplay Enemy Roster</x:v>
      </x:c>
    </x:row>
    <x:row r="3" ht="36" customHeight="1">
      <x:c r="A3" s="16" t="str">
        <x:v>Enemy</x:v>
      </x:c>
      <x:c r="B3" s="17" t="str">
        <x:v>Gameplay Role</x:v>
      </x:c>
      <x:c r="C3" s="17" t="str">
        <x:v>Health Band</x:v>
      </x:c>
      <x:c r="D3" s="17" t="str">
        <x:v>Damage Band</x:v>
      </x:c>
      <x:c r="E3" s="17" t="str">
        <x:v>Speed Band</x:v>
      </x:c>
      <x:c r="F3" s="17" t="str">
        <x:v>Priority</x:v>
      </x:c>
      <x:c r="G3" s="17" t="str">
        <x:v>Implementation Order</x:v>
      </x:c>
      <x:c r="H3" s="17" t="str">
        <x:v>Status</x:v>
      </x:c>
      <x:c r="I3" s="17" t="str">
        <x:v>Slice Use</x:v>
      </x:c>
      <x:c r="J3" s="18" t="str">
        <x:v>Design Note</x:v>
      </x:c>
    </x:row>
    <x:row r="4">
      <x:c r="A4" s="26" t="str">
        <x:v>Ashbound</x:v>
      </x:c>
      <x:c r="B4" s="26" t="str">
        <x:v>Grunt</x:v>
      </x:c>
      <x:c r="C4" s="26" t="str">
        <x:v>Low</x:v>
      </x:c>
      <x:c r="D4" s="26" t="str">
        <x:v>Low</x:v>
      </x:c>
      <x:c r="E4" s="26" t="str">
        <x:v>Medium</x:v>
      </x:c>
      <x:c r="F4" s="26" t="str">
        <x:v>Low</x:v>
      </x:c>
      <x:c r="G4" s="35" t="n">
        <x:v>1</x:v>
      </x:c>
      <x:c r="H4" s="26" t="str">
        <x:v>Implemented</x:v>
      </x:c>
      <x:c r="I4" s="26" t="str">
        <x:v>First Ash-Walk set</x:v>
      </x:c>
      <x:c r="J4" s="26" t="str">
        <x:v>Baseline melee pressure; proves core movement, aim, and spacing.</x:v>
      </x:c>
    </x:row>
    <x:row r="5">
      <x:c r="A5" s="27" t="str">
        <x:v>Burdened</x:v>
      </x:c>
      <x:c r="B5" s="27" t="str">
        <x:v>Tank</x:v>
      </x:c>
      <x:c r="C5" s="27" t="str">
        <x:v>High</x:v>
      </x:c>
      <x:c r="D5" s="27" t="str">
        <x:v>Medium</x:v>
      </x:c>
      <x:c r="E5" s="27" t="str">
        <x:v>Slow</x:v>
      </x:c>
      <x:c r="F5" s="27" t="str">
        <x:v>Medium</x:v>
      </x:c>
      <x:c r="G5" s="36" t="n">
        <x:v>2</x:v>
      </x:c>
      <x:c r="H5" s="27" t="str">
        <x:v>Implemented</x:v>
      </x:c>
      <x:c r="I5" s="27" t="str">
        <x:v>First Ash-Walk set</x:v>
      </x:c>
      <x:c r="J5" s="27" t="str">
        <x:v>Slow durable route blocker; should force repositioning.</x:v>
      </x:c>
    </x:row>
    <x:row r="6">
      <x:c r="A6" s="27" t="str">
        <x:v>Censer</x:v>
      </x:c>
      <x:c r="B6" s="27" t="str">
        <x:v>Glass cannon</x:v>
      </x:c>
      <x:c r="C6" s="27" t="str">
        <x:v>Low</x:v>
      </x:c>
      <x:c r="D6" s="27" t="str">
        <x:v>High</x:v>
      </x:c>
      <x:c r="E6" s="27" t="str">
        <x:v>Slow</x:v>
      </x:c>
      <x:c r="F6" s="27" t="str">
        <x:v>High</x:v>
      </x:c>
      <x:c r="G6" s="36" t="n">
        <x:v>3</x:v>
      </x:c>
      <x:c r="H6" s="27" t="str">
        <x:v>Implemented</x:v>
      </x:c>
      <x:c r="I6" s="27" t="str">
        <x:v>First Ash-Walk set</x:v>
      </x:c>
      <x:c r="J6" s="27" t="str">
        <x:v>Fragile priority target with readable wind-up.</x:v>
      </x:c>
    </x:row>
    <x:row r="7">
      <x:c r="A7" s="27" t="str">
        <x:v>Chainrunner</x:v>
      </x:c>
      <x:c r="B7" s="27" t="str">
        <x:v>High-speed flanker</x:v>
      </x:c>
      <x:c r="C7" s="27" t="str">
        <x:v>Low-Med</x:v>
      </x:c>
      <x:c r="D7" s="27" t="str">
        <x:v>Medium</x:v>
      </x:c>
      <x:c r="E7" s="27" t="str">
        <x:v>High</x:v>
      </x:c>
      <x:c r="F7" s="27" t="str">
        <x:v>High</x:v>
      </x:c>
      <x:c r="G7" s="36" t="n">
        <x:v>4</x:v>
      </x:c>
      <x:c r="H7" s="27" t="str">
        <x:v>Implemented data only</x:v>
      </x:c>
      <x:c r="I7" s="27" t="str">
        <x:v>Later Ash-Walk stress test</x:v>
      </x:c>
      <x:c r="J7" s="27" t="str">
        <x:v>Fast panic enemy; tests dash, camera, and audio tells.</x:v>
      </x:c>
    </x:row>
    <x:row r="8">
      <x:c r="A8" s="27" t="str">
        <x:v>Harpy</x:v>
      </x:c>
      <x:c r="B8" s="27" t="str">
        <x:v>Aerial</x:v>
      </x:c>
      <x:c r="C8" s="27" t="str">
        <x:v>Medium</x:v>
      </x:c>
      <x:c r="D8" s="27" t="str">
        <x:v>Medium</x:v>
      </x:c>
      <x:c r="E8" s="27" t="str">
        <x:v>High</x:v>
      </x:c>
      <x:c r="F8" s="27" t="str">
        <x:v>High</x:v>
      </x:c>
      <x:c r="G8" s="36" t="n">
        <x:v>5</x:v>
      </x:c>
      <x:c r="H8" s="27" t="str">
        <x:v>Implemented data only</x:v>
      </x:c>
      <x:c r="I8" s="27" t="str">
        <x:v>First Ash-Walk set</x:v>
      </x:c>
      <x:c r="J8" s="27" t="str">
        <x:v>Vertical threat; should punish exposed climbs.</x:v>
      </x:c>
    </x:row>
    <x:row r="9">
      <x:c r="A9" s="27" t="str">
        <x:v>Bellworn</x:v>
      </x:c>
      <x:c r="B9" s="27" t="str">
        <x:v>Ranged harasser</x:v>
      </x:c>
      <x:c r="C9" s="27" t="str">
        <x:v>Medium</x:v>
      </x:c>
      <x:c r="D9" s="27" t="str">
        <x:v>Low-Med</x:v>
      </x:c>
      <x:c r="E9" s="27" t="str">
        <x:v>Medium</x:v>
      </x:c>
      <x:c r="F9" s="27" t="str">
        <x:v>Medium</x:v>
      </x:c>
      <x:c r="G9" s="36" t="n">
        <x:v>8</x:v>
      </x:c>
      <x:c r="H9" s="27" t="str">
        <x:v>Planned</x:v>
      </x:c>
      <x:c r="I9" s="27" t="str">
        <x:v>Future</x:v>
      </x:c>
      <x:c r="J9" s="27" t="str">
        <x:v>Persistent ranged chip pressure and cover teaching.</x:v>
      </x:c>
    </x:row>
    <x:row r="10">
      <x:c r="A10" s="27" t="str">
        <x:v>Silencer</x:v>
      </x:c>
      <x:c r="B10" s="27" t="str">
        <x:v>Suppressor</x:v>
      </x:c>
      <x:c r="C10" s="27" t="str">
        <x:v>Low-Med</x:v>
      </x:c>
      <x:c r="D10" s="27" t="str">
        <x:v>Low</x:v>
      </x:c>
      <x:c r="E10" s="27" t="str">
        <x:v>Slow</x:v>
      </x:c>
      <x:c r="F10" s="27" t="str">
        <x:v>High</x:v>
      </x:c>
      <x:c r="G10" s="36" t="n">
        <x:v>7</x:v>
      </x:c>
      <x:c r="H10" s="27" t="str">
        <x:v>Planned</x:v>
      </x:c>
      <x:c r="I10" s="27" t="str">
        <x:v>Future</x:v>
      </x:c>
      <x:c r="J10" s="27" t="str">
        <x:v>Weakens or disables player tools after those tools are stable.</x:v>
      </x:c>
    </x:row>
    <x:row r="11">
      <x:c r="A11" s="27" t="str">
        <x:v>Paranoiac</x:v>
      </x:c>
      <x:c r="B11" s="27" t="str">
        <x:v>Escalator</x:v>
      </x:c>
      <x:c r="C11" s="27" t="str">
        <x:v>Low-Med</x:v>
      </x:c>
      <x:c r="D11" s="27" t="str">
        <x:v>Low</x:v>
      </x:c>
      <x:c r="E11" s="27" t="str">
        <x:v>Medium</x:v>
      </x:c>
      <x:c r="F11" s="27" t="str">
        <x:v>Very High</x:v>
      </x:c>
      <x:c r="G11" s="36" t="n">
        <x:v>6</x:v>
      </x:c>
      <x:c r="H11" s="27" t="str">
        <x:v>Planned</x:v>
      </x:c>
      <x:c r="I11" s="27" t="str">
        <x:v>Future</x:v>
      </x:c>
      <x:c r="J11" s="27" t="str">
        <x:v>Alarm enemy that worsens fights over time.</x:v>
      </x:c>
    </x:row>
    <x:row r="12">
      <x:c r="A12" s="27" t="str">
        <x:v>Anchor Parasite</x:v>
      </x:c>
      <x:c r="B12" s="27" t="str">
        <x:v>Swarmer</x:v>
      </x:c>
      <x:c r="C12" s="27" t="str">
        <x:v>Very Low</x:v>
      </x:c>
      <x:c r="D12" s="27" t="str">
        <x:v>Low</x:v>
      </x:c>
      <x:c r="E12" s="27" t="str">
        <x:v>High</x:v>
      </x:c>
      <x:c r="F12" s="27" t="str">
        <x:v>Low-Med</x:v>
      </x:c>
      <x:c r="G12" s="36" t="n">
        <x:v>9</x:v>
      </x:c>
      <x:c r="H12" s="27" t="str">
        <x:v>Planned</x:v>
      </x:c>
      <x:c r="I12" s="27" t="str">
        <x:v>Future</x:v>
      </x:c>
      <x:c r="J12" s="27" t="str">
        <x:v>Small pressure enemy around Anchors and machinery.</x:v>
      </x:c>
    </x:row>
    <x:row r="13">
      <x:c r="A13" s="27" t="str">
        <x:v>Root-Machine Hybrid</x:v>
      </x:c>
      <x:c r="B13" s="27" t="str">
        <x:v>Controller</x:v>
      </x:c>
      <x:c r="C13" s="27" t="str">
        <x:v>Med-High</x:v>
      </x:c>
      <x:c r="D13" s="27" t="str">
        <x:v>Medium</x:v>
      </x:c>
      <x:c r="E13" s="27" t="str">
        <x:v>Slow</x:v>
      </x:c>
      <x:c r="F13" s="27" t="str">
        <x:v>High</x:v>
      </x:c>
      <x:c r="G13" s="36" t="n">
        <x:v>10</x:v>
      </x:c>
      <x:c r="H13" s="27" t="str">
        <x:v>Planned</x:v>
      </x:c>
      <x:c r="I13" s="27" t="str">
        <x:v>Future</x:v>
      </x:c>
      <x:c r="J13" s="27" t="str">
        <x:v>Zone denial and arena control.</x:v>
      </x:c>
    </x:row>
    <x:row r="14">
      <x:c r="A14" s="27" t="str">
        <x:v>Mirror of the Player</x:v>
      </x:c>
      <x:c r="B14" s="27" t="str">
        <x:v>Duelist</x:v>
      </x:c>
      <x:c r="C14" s="27" t="str">
        <x:v>Medium</x:v>
      </x:c>
      <x:c r="D14" s="27" t="str">
        <x:v>High</x:v>
      </x:c>
      <x:c r="E14" s="27" t="str">
        <x:v>High</x:v>
      </x:c>
      <x:c r="F14" s="27" t="str">
        <x:v>Very High</x:v>
      </x:c>
      <x:c r="G14" s="36" t="n">
        <x:v>11</x:v>
      </x:c>
      <x:c r="H14" s="27" t="str">
        <x:v>Planned</x:v>
      </x:c>
      <x:c r="I14" s="27" t="str">
        <x:v>Late game</x:v>
      </x:c>
      <x:c r="J14" s="27" t="str">
        <x:v>Mimic/skill-check enemy for Mirror-Crust or special events.</x:v>
      </x:c>
    </x:row>
    <x:row r="15">
      <x:c r="A15" s="28" t="str">
        <x:v>Bell-Headed</x:v>
      </x:c>
      <x:c r="B15" s="28" t="str">
        <x:v>Elite modifier</x:v>
      </x:c>
      <x:c r="C15" s="28" t="str">
        <x:v>Varies</x:v>
      </x:c>
      <x:c r="D15" s="28" t="str">
        <x:v>Varies</x:v>
      </x:c>
      <x:c r="E15" s="28" t="str">
        <x:v>Varies</x:v>
      </x:c>
      <x:c r="F15" s="28" t="str">
        <x:v>Varies</x:v>
      </x:c>
      <x:c r="G15" s="37" t="n">
        <x:v>12</x:v>
      </x:c>
      <x:c r="H15" s="28" t="str">
        <x:v>Planned</x:v>
      </x:c>
      <x:c r="I15" s="28" t="str">
        <x:v>Modifier</x:v>
      </x:c>
      <x:c r="J15" s="28" t="str">
        <x:v>Elite frame applied to another base role.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customHeight="1">
      <x:c r="A1" s="4" t="str">
        <x:v>Workbook Sources</x:v>
      </x:c>
      <x:c r="B1" s="4" t="str">
        <x:v>Workbook Sources</x:v>
      </x:c>
      <x:c r="C1" s="4" t="str">
        <x:v>Workbook Sources</x:v>
      </x:c>
      <x:c r="D1" s="4" t="str">
        <x:v>Workbook Sources</x:v>
      </x:c>
    </x:row>
    <x:row r="3" ht="36" customHeight="1">
      <x:c r="A3" s="16" t="str">
        <x:v>Source</x:v>
      </x:c>
      <x:c r="B3" s="17" t="str">
        <x:v>Type</x:v>
      </x:c>
      <x:c r="C3" s="17" t="str">
        <x:v>Used For</x:v>
      </x:c>
      <x:c r="D3" s="18" t="str">
        <x:v>Path</x:v>
      </x:c>
    </x:row>
    <x:row r="4">
      <x:c r="A4" s="26" t="str">
        <x:v>Enemy definition TOML files</x:v>
      </x:c>
      <x:c r="B4" s="26" t="str">
        <x:v>Project data</x:v>
      </x:c>
      <x:c r="C4" s="26" t="str">
        <x:v>Current implemented enemy stats and model references</x:v>
      </x:c>
      <x:c r="D4" s="26" t="str">
        <x:v>data/enemies/*.toml</x:v>
      </x:c>
    </x:row>
    <x:row r="5">
      <x:c r="A5" s="27" t="str">
        <x:v>Enemy gameplay roster</x:v>
      </x:c>
      <x:c r="B5" s="27" t="str">
        <x:v>Design doc</x:v>
      </x:c>
      <x:c r="C5" s="27" t="str">
        <x:v>Full planned roster, roles, implementation order, and encounter intent</x:v>
      </x:c>
      <x:c r="D5" s="27" t="str">
        <x:v>ENEMY_GAMEPLAY_ROSTER.txt</x:v>
      </x:c>
    </x:row>
    <x:row r="6">
      <x:c r="A6" s="27" t="str">
        <x:v>Enemy model generator brief</x:v>
      </x:c>
      <x:c r="B6" s="27" t="str">
        <x:v>Design doc</x:v>
      </x:c>
      <x:c r="C6" s="27" t="str">
        <x:v>Model readability and silhouette direction</x:v>
      </x:c>
      <x:c r="D6" s="27" t="str">
        <x:v>ENEMY_MODEL_GENERATOR_BRIEF.txt</x:v>
      </x:c>
    </x:row>
    <x:row r="7">
      <x:c r="A7" s="27" t="str">
        <x:v>Foundation notes</x:v>
      </x:c>
      <x:c r="B7" s="27" t="str">
        <x:v>Technical doc</x:v>
      </x:c>
      <x:c r="C7" s="27" t="str">
        <x:v>Current runtime, validation, and smoke-test scope</x:v>
      </x:c>
      <x:c r="D7" s="27" t="str">
        <x:v>FOUNDATION.md</x:v>
      </x:c>
    </x:row>
    <x:row r="8">
      <x:c r="A8" s="27" t="str">
        <x:v>Roadmap</x:v>
      </x:c>
      <x:c r="B8" s="27" t="str">
        <x:v>Planning doc</x:v>
      </x:c>
      <x:c r="C8" s="27" t="str">
        <x:v>Stage 0 and Stage 1 milestone context</x:v>
      </x:c>
      <x:c r="D8" s="27" t="str">
        <x:v>ROADMAP.md</x:v>
      </x:c>
    </x:row>
    <x:row r="9">
      <x:c r="A9" s="27" t="str">
        <x:v>Asset guide</x:v>
      </x:c>
      <x:c r="B9" s="27" t="str">
        <x:v>Pipeline doc</x:v>
      </x:c>
      <x:c r="C9" s="27" t="str">
        <x:v>Model reset scale, naming, and replacement rules</x:v>
      </x:c>
      <x:c r="D9" s="27" t="str">
        <x:v>ASSET_GUIDE.md</x:v>
      </x:c>
    </x:row>
    <x:row r="10">
      <x:c r="A10" s="27" t="str">
        <x:v>Model reset plan</x:v>
      </x:c>
      <x:c r="B10" s="27" t="str">
        <x:v>Pipeline doc</x:v>
      </x:c>
      <x:c r="C10" s="27" t="str">
        <x:v>Recommended asset rebuild sequence</x:v>
      </x:c>
      <x:c r="D10" s="27" t="str">
        <x:v>MODEL_RESET_PLAN.md</x:v>
      </x:c>
    </x:row>
    <x:row r="11">
      <x:c r="A11" s="27" t="str">
        <x:v>Foundation test level</x:v>
      </x:c>
      <x:c r="B11" s="27" t="str">
        <x:v>Level data</x:v>
      </x:c>
      <x:c r="C11" s="27" t="str">
        <x:v>Current enemy/resource/Anchor test arena</x:v>
      </x:c>
      <x:c r="D11" s="27" t="str">
        <x:v>levels/foundation_test.json</x:v>
      </x:c>
    </x:row>
    <x:row r="12">
      <x:c r="A12" s="28" t="str">
        <x:v>Current date</x:v>
      </x:c>
      <x:c r="B12" s="28" t="str">
        <x:v>Generation metadata</x:v>
      </x:c>
      <x:c r="C12" s="28" t="str">
        <x:v>Workbook generated locally from repo contents</x:v>
      </x:c>
      <x:c r="D12" s="28" t="str">
        <x:v>2026-07-08</x:v>
      </x:c>
    </x:row>
  </x:sheetData>
  <x:mergeCells>
    <x:mergeCell ref="A1:D1"/>
  </x:mergeCells>
  <x:pageMargins left="0.7" right="0.7" top="0.75" bottom="0.75" header="0.3" footer="0.3"/>
</x:worksheet>
</file>